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immckeown/Development/masi-app/outputs/offer-comparison-workbook/exports/"/>
    </mc:Choice>
  </mc:AlternateContent>
  <xr:revisionPtr revIDLastSave="0" documentId="13_ncr:1_{0877CAA5-4020-1446-8904-32E735476DD0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Summary" sheetId="1" r:id="rId1"/>
    <sheet name="Offer Matrix" sheetId="2" r:id="rId2"/>
    <sheet name="Assumptions" sheetId="3" r:id="rId3"/>
    <sheet name="Source 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A7" i="1"/>
  <c r="A6" i="1"/>
  <c r="A5" i="1"/>
  <c r="A4" i="1"/>
  <c r="AA5" i="2"/>
  <c r="T5" i="2"/>
  <c r="Q5" i="2"/>
  <c r="Z5" i="2" s="1"/>
  <c r="M5" i="2"/>
  <c r="AA4" i="2"/>
  <c r="T4" i="2"/>
  <c r="Q4" i="2"/>
  <c r="Z4" i="2" s="1"/>
  <c r="M4" i="2"/>
  <c r="AA3" i="2"/>
  <c r="T3" i="2"/>
  <c r="Q3" i="2"/>
  <c r="Z3" i="2" s="1"/>
  <c r="M3" i="2"/>
  <c r="AA2" i="2"/>
  <c r="Z2" i="2"/>
  <c r="AB2" i="2" s="1"/>
  <c r="T2" i="2"/>
  <c r="Q2" i="2"/>
  <c r="M2" i="2"/>
  <c r="F7" i="1"/>
  <c r="D7" i="1"/>
  <c r="B7" i="1"/>
  <c r="F6" i="1"/>
  <c r="D6" i="1"/>
  <c r="C6" i="1"/>
  <c r="B6" i="1"/>
  <c r="F5" i="1"/>
  <c r="D5" i="1"/>
  <c r="B5" i="1"/>
  <c r="F4" i="1"/>
  <c r="D4" i="1"/>
  <c r="C4" i="1"/>
  <c r="B4" i="1"/>
  <c r="B10" i="1" s="1"/>
  <c r="B12" i="1" l="1"/>
  <c r="AB3" i="2"/>
  <c r="E5" i="1"/>
  <c r="AB4" i="2"/>
  <c r="E6" i="1"/>
  <c r="AB5" i="2"/>
  <c r="E7" i="1"/>
  <c r="E4" i="1"/>
  <c r="B11" i="1" s="1"/>
  <c r="C5" i="1"/>
  <c r="C7" i="1"/>
</calcChain>
</file>

<file path=xl/sharedStrings.xml><?xml version="1.0" encoding="utf-8"?>
<sst xmlns="http://schemas.openxmlformats.org/spreadsheetml/2006/main" count="137" uniqueCount="113">
  <si>
    <t>Offer Comparison Summary</t>
  </si>
  <si>
    <t>Offer</t>
  </si>
  <si>
    <t>Expected Final Price</t>
  </si>
  <si>
    <t>Buyer Broker Fee</t>
  </si>
  <si>
    <t>Seller Transfer Tax</t>
  </si>
  <si>
    <t>Net Before Listing Fee</t>
  </si>
  <si>
    <t>Risk Rating</t>
  </si>
  <si>
    <t>Best By Category</t>
  </si>
  <si>
    <t>Highest expected final price</t>
  </si>
  <si>
    <t>Quick Notes</t>
  </si>
  <si>
    <t>Highest net before listing fee</t>
  </si>
  <si>
    <t>Offer 1</t>
  </si>
  <si>
    <t>Strong personal/gift support, but seller-paid buyer broker fee reduces net.</t>
  </si>
  <si>
    <t>Lowest risk rating</t>
  </si>
  <si>
    <t>Offer 2</t>
  </si>
  <si>
    <t>Cleanest financing/appraisal risk</t>
  </si>
  <si>
    <t>Offer 3</t>
  </si>
  <si>
    <t>Highest possible gross price, but mortgage contingency and $11k appraisal gap cap need scrutiny.</t>
  </si>
  <si>
    <t>Biggest clarification needed</t>
  </si>
  <si>
    <t>Offer 3 appraisal/financing and Offer 1 typo</t>
  </si>
  <si>
    <t>Offer 4</t>
  </si>
  <si>
    <t>Cash/no mortgage and waived inspections; net is reduced by buyer broker fee and normal seller transfer tax.</t>
  </si>
  <si>
    <t>Next step</t>
  </si>
  <si>
    <t>Ask agent for official net sheets and confirmation of buyer broker compensation for each offer.</t>
  </si>
  <si>
    <t>Buyer</t>
  </si>
  <si>
    <t>Base Purchase Price</t>
  </si>
  <si>
    <t>Escalation Cap</t>
  </si>
  <si>
    <t>Escalation Increment</t>
  </si>
  <si>
    <t>Deposit / Earnest Money</t>
  </si>
  <si>
    <t>Financing Type</t>
  </si>
  <si>
    <t>Mortgage Contingency</t>
  </si>
  <si>
    <t>Loan Amount / LTV</t>
  </si>
  <si>
    <t>Appraisal Contingency</t>
  </si>
  <si>
    <t>Appraisal Gap Coverage</t>
  </si>
  <si>
    <t>Minimum Appraisal Needed</t>
  </si>
  <si>
    <t>Inspection Contingencies</t>
  </si>
  <si>
    <t>Seller Concessions / Buyer Broker</t>
  </si>
  <si>
    <t>Buyer Broker Fee Rate</t>
  </si>
  <si>
    <t>Buyer Broker Fee Cost</t>
  </si>
  <si>
    <t>Transfer Tax Terms</t>
  </si>
  <si>
    <t>Seller Transfer Tax Rate</t>
  </si>
  <si>
    <t>Seller Transfer Tax Cost</t>
  </si>
  <si>
    <t>Settlement Date</t>
  </si>
  <si>
    <t>Extensions / Timing Flexibility</t>
  </si>
  <si>
    <t>Sale-of-Home Contingency</t>
  </si>
  <si>
    <t>Included Items</t>
  </si>
  <si>
    <t>Excluded Items Issue</t>
  </si>
  <si>
    <t>Estimated Listing Fee</t>
  </si>
  <si>
    <t>Estimated Net After Listing Fee</t>
  </si>
  <si>
    <t>Questions / Counterpoints</t>
  </si>
  <si>
    <t>Ethan J. Hahn and Christina Hahn</t>
  </si>
  <si>
    <t>Mortgage possible; large gift letter provided</t>
  </si>
  <si>
    <t>Waived</t>
  </si>
  <si>
    <t>Not specified in visible terms; gift letter says $660k available</t>
  </si>
  <si>
    <t>No ACA checked in ASR/PEA</t>
  </si>
  <si>
    <t>All standard inspections waived</t>
  </si>
  <si>
    <t>Seller pays buyer broker 2.5%; no closing-cost assist shown</t>
  </si>
  <si>
    <t>Split normally; no buyer payment of seller side stated</t>
  </si>
  <si>
    <t>No special extension term seen</t>
  </si>
  <si>
    <t>None seen</t>
  </si>
  <si>
    <t>Washer, dryer, dishwasher, stove, refrigerator</t>
  </si>
  <si>
    <t>All mirrors except bathroom mirrors remain; dining room chandelier; bird feeders/houses/baths; armillary sundial</t>
  </si>
  <si>
    <t>Escalation cap appears typed as $660,0000 in the PEA; ask agent to correct/confirm. Buyer-broker fee materially reduces net.</t>
  </si>
  <si>
    <t>Steven Mendes and Eva Mendes</t>
  </si>
  <si>
    <t>Cash / no mortgage financing</t>
  </si>
  <si>
    <t>Not applicable; buyer will not obtain mortgage financing</t>
  </si>
  <si>
    <t>N/A</t>
  </si>
  <si>
    <t>No buyer broker fee or closing-cost assist shown</t>
  </si>
  <si>
    <t>Buyer pays seller's side of transfer tax</t>
  </si>
  <si>
    <t>All appliances in as-is condition at no additional monetary value</t>
  </si>
  <si>
    <t>All mirrors except upstairs bathroom mirrors; dining room chandelier; garage EV charger negotiable; exterior bird items and sundial</t>
  </si>
  <si>
    <t>Shannon Henry and Petri Santala</t>
  </si>
  <si>
    <t>Conventional mortgage</t>
  </si>
  <si>
    <t>Elected</t>
  </si>
  <si>
    <t>$548,800 first mortgage / 80% LTV</t>
  </si>
  <si>
    <t>Custom additional term; ACA not checked</t>
  </si>
  <si>
    <t>Buyers agree to extend 30 days as needed</t>
  </si>
  <si>
    <t>Washer/dryer, fridge, oven</t>
  </si>
  <si>
    <t>No exclusions typed in agreement section reviewed</t>
  </si>
  <si>
    <t>Highest possible gross price, but financing is contingent and appraisal gap is capped at $11k. At $686k, appraisal likely needs to be at least $675k.</t>
  </si>
  <si>
    <t>Christopher J. Campis and Maria Lourdes Abigaile Campis</t>
  </si>
  <si>
    <t>Cash / no mortgage financing; proof of funds and designated family funds included</t>
  </si>
  <si>
    <t>Settlement date marked flexible</t>
  </si>
  <si>
    <t>All appliances in as-is condition</t>
  </si>
  <si>
    <t>All mirrors except upstairs bathroom mirrors; dining room chandelier; garage EV charger; exterior bird items and sundial</t>
  </si>
  <si>
    <t>Strong cash/no-financing structure and waived inspections, but seller-paid buyer broker fee and seller transfer tax reduce net.</t>
  </si>
  <si>
    <t>Assumption</t>
  </si>
  <si>
    <t>Value</t>
  </si>
  <si>
    <t>Listing broker fee rate</t>
  </si>
  <si>
    <t>Seller-side transfer tax rate</t>
  </si>
  <si>
    <t>Offer 3 escalation cap per user summary</t>
  </si>
  <si>
    <t>Offer 3 appraisal gap cap</t>
  </si>
  <si>
    <t>Default risk scale</t>
  </si>
  <si>
    <t>1 = lower risk, 5 = higher risk</t>
  </si>
  <si>
    <t>Notes</t>
  </si>
  <si>
    <t>Edit the blue assumption cells if your agent gives different numbers.</t>
  </si>
  <si>
    <t>File / Source</t>
  </si>
  <si>
    <t>Key Values Used</t>
  </si>
  <si>
    <t>Caveats</t>
  </si>
  <si>
    <t>Offer 1 - Updated Offer!.pdf; Offer 1 - Gift Letter from James Hahn.pdf</t>
  </si>
  <si>
    <t>Base $640k; escalation +$2k to apparent $660k cap; deposit $12k; waived mortgage contingency; inspections waived; seller pays buyer broker 2.5%; settlement 6/12/2026; gift letter states $660k available.</t>
  </si>
  <si>
    <t>PEA cap appears typoed as $660,0000. No ACA checked in reviewed agreement.</t>
  </si>
  <si>
    <t>Offer 2.pdf</t>
  </si>
  <si>
    <t>Base $640k; escalation +$1.2k to $650k cap; deposit $10k; cash/no mortgage financing; inspections waived; buyer pays seller-side transfer tax; settlement 6/10/2026.</t>
  </si>
  <si>
    <t>Acceptance-date field appears amended/duplicative; confirm with agent.</t>
  </si>
  <si>
    <t>Standard Agreement For The Sale of Real Estate (PAR ASR) (14).pdf plus user summary</t>
  </si>
  <si>
    <t>Base $656k; user-provided escalation cap $686k; deposit $20k; conventional financing contingency elected; loan $548,800 at 80% LTV; inspections waived; buyer broker 2.5%; $11k appraisal gap clause; settlement 6/30/2026.</t>
  </si>
  <si>
    <t>PEA itself was referenced but not in the reviewed 14-page PDF. Additional term says appraisal gap, but ACA is not checked.</t>
  </si>
  <si>
    <t>fwdofferforclarencedrivefrompattieheinerealtor folder: 1847 Clarence Dr. AOS.pdf; 1847 Clarence Dr., Price Escalation.pdf; Buyers Financial Information (2).pdf; Designation of Funds.pdf</t>
  </si>
  <si>
    <t>Base $651,600; escalation +$5,251 to $665,700 cap; deposit $15k; no mortgage financing; inspections waived; buyer broker 2.5%; no appraisal addendum checked; settlement 6/2/2026 flexible; buyer financial statement shows $1.13M+ assets and designated funds letter.</t>
  </si>
  <si>
    <t>AOS and PEA are scanned, so key fields were read from rendered pages. Transfer taxes default to normal split because no alternate term was typed.</t>
  </si>
  <si>
    <t>Lowest max price but cleanest terms: cash/no mortgage, waived inspections, buyer pays seller transfer tax. Need to confirm no Buyer Broker fee</t>
  </si>
  <si>
    <t>Lowest cap of the three, but cleanest seller economics and lowest financing/appraisal risk. Need to confirm buyer broker fee.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</si>
</sst>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"/>
    <numFmt numFmtId="166" formatCode="m/d/yyyy"/>
  </numFmts>
  <fonts count="4">
    <font>
      <sz val="11"/>
      <name val="Carlito"/>
    </font>
    <font>
      <b/>
      <sz val="11"/>
      <color rgb="FFFFFFFF"/>
      <name val="Aptos"/>
    </font>
    <font>
      <sz val="11"/>
      <name val="Aptos"/>
    </font>
    <font>
      <b/>
      <sz val="11"/>
      <name val="Aptos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F7"/>
        <bgColor rgb="FF000000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165" fontId="2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165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6" fontId="2" fillId="0" borderId="1" xfId="0" applyNumberFormat="1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0" fontId="1" fillId="2" borderId="0" xfId="0" applyFont="1" applyFill="1" applyAlignment="1">
      <alignment vertical="top"/>
    </xf>
    <xf numFmtId="0" fontId="3" fillId="3" borderId="0" xfId="0" applyFont="1" applyFill="1" applyAlignment="1">
      <alignment vertical="top"/>
    </xf>
    <xf numFmtId="0" fontId="2" fillId="0" borderId="4" xfId="0" applyFont="1" applyBorder="1" applyAlignment="1">
      <alignment vertical="top" wrapText="1"/>
    </xf>
    <xf numFmtId="0" fontId="3" fillId="4" borderId="2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sqref="A1:F1"/>
    </sheetView>
  </sheetViews>
  <sheetFormatPr baseColWidth="10" defaultColWidth="8.83203125" defaultRowHeight="14"/>
  <cols>
    <col min="1" max="2" width="40.5" customWidth="1"/>
    <col min="3" max="3" width="17.33203125" customWidth="1"/>
    <col min="4" max="4" width="18.33203125" customWidth="1"/>
    <col min="5" max="5" width="101.6640625" customWidth="1"/>
    <col min="6" max="6" width="11.5" customWidth="1"/>
    <col min="7" max="7" width="89" bestFit="1" customWidth="1"/>
  </cols>
  <sheetData>
    <row r="1" spans="1:8" ht="21.25" customHeight="1">
      <c r="A1" s="15" t="s">
        <v>0</v>
      </c>
      <c r="B1" s="15"/>
      <c r="C1" s="15"/>
      <c r="D1" s="15"/>
      <c r="E1" s="15"/>
      <c r="F1" s="15"/>
    </row>
    <row r="2" spans="1:8" ht="15">
      <c r="A2" s="1"/>
      <c r="B2" s="1"/>
      <c r="C2" s="1"/>
      <c r="D2" s="1"/>
      <c r="E2" s="1"/>
      <c r="F2" s="1"/>
    </row>
    <row r="3" spans="1:8" ht="2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18" t="s">
        <v>9</v>
      </c>
      <c r="H3" s="19"/>
    </row>
    <row r="4" spans="1:8" ht="20" customHeight="1">
      <c r="A4" s="3" t="str">
        <f>'Offer Matrix'!A2&amp;" - "&amp;'Offer Matrix'!B2</f>
        <v>Offer 1 - Ethan J. Hahn and Christina Hahn</v>
      </c>
      <c r="B4" s="4">
        <f>'Offer Matrix'!F2</f>
        <v>660000</v>
      </c>
      <c r="C4" s="4">
        <f>'Offer Matrix'!Q2</f>
        <v>16500</v>
      </c>
      <c r="D4" s="4">
        <f>'Offer Matrix'!T2</f>
        <v>6600</v>
      </c>
      <c r="E4" s="4">
        <f>'Offer Matrix'!Z2</f>
        <v>636900</v>
      </c>
      <c r="F4" s="3">
        <f>'Offer Matrix'!AC2</f>
        <v>3</v>
      </c>
      <c r="G4" s="17" t="s">
        <v>12</v>
      </c>
      <c r="H4" s="17"/>
    </row>
    <row r="5" spans="1:8" ht="20" customHeight="1">
      <c r="A5" s="3" t="str">
        <f>'Offer Matrix'!A3&amp;" - "&amp;'Offer Matrix'!B3</f>
        <v>Offer 2 - Steven Mendes and Eva Mendes</v>
      </c>
      <c r="B5" s="4">
        <f>'Offer Matrix'!F3</f>
        <v>650000</v>
      </c>
      <c r="C5" s="4">
        <f>'Offer Matrix'!Q3</f>
        <v>0</v>
      </c>
      <c r="D5" s="4">
        <f>'Offer Matrix'!T3</f>
        <v>0</v>
      </c>
      <c r="E5" s="4">
        <f>'Offer Matrix'!Z3</f>
        <v>650000</v>
      </c>
      <c r="F5" s="3">
        <f>'Offer Matrix'!AC3</f>
        <v>1</v>
      </c>
      <c r="G5" s="17" t="s">
        <v>111</v>
      </c>
      <c r="H5" s="17"/>
    </row>
    <row r="6" spans="1:8" ht="20" customHeight="1">
      <c r="A6" s="3" t="str">
        <f>'Offer Matrix'!A4&amp;" - "&amp;'Offer Matrix'!B4</f>
        <v>Offer 3 - Shannon Henry and Petri Santala</v>
      </c>
      <c r="B6" s="4">
        <f>'Offer Matrix'!F4</f>
        <v>686000</v>
      </c>
      <c r="C6" s="4">
        <f>'Offer Matrix'!Q4</f>
        <v>17150</v>
      </c>
      <c r="D6" s="4">
        <f>'Offer Matrix'!T4</f>
        <v>6860</v>
      </c>
      <c r="E6" s="4">
        <f>'Offer Matrix'!Z4</f>
        <v>661990</v>
      </c>
      <c r="F6" s="3">
        <f>'Offer Matrix'!AC4</f>
        <v>4</v>
      </c>
      <c r="G6" s="17" t="s">
        <v>17</v>
      </c>
      <c r="H6" s="17"/>
    </row>
    <row r="7" spans="1:8" ht="20" customHeight="1">
      <c r="A7" s="3" t="str">
        <f>'Offer Matrix'!A5&amp;" - "&amp;'Offer Matrix'!B5</f>
        <v>Offer 4 - Christopher J. Campis and Maria Lourdes Abigaile Campis</v>
      </c>
      <c r="B7" s="4">
        <f>'Offer Matrix'!F5</f>
        <v>665700</v>
      </c>
      <c r="C7" s="4">
        <f>'Offer Matrix'!Q5</f>
        <v>16642.5</v>
      </c>
      <c r="D7" s="4">
        <f>'Offer Matrix'!T5</f>
        <v>6657</v>
      </c>
      <c r="E7" s="4">
        <f>'Offer Matrix'!Z5</f>
        <v>642400.5</v>
      </c>
      <c r="F7" s="3">
        <f>'Offer Matrix'!AC5</f>
        <v>2</v>
      </c>
      <c r="G7" s="17" t="s">
        <v>21</v>
      </c>
      <c r="H7" s="17"/>
    </row>
    <row r="8" spans="1:8" ht="15">
      <c r="A8" s="1"/>
      <c r="B8" s="1"/>
      <c r="C8" s="1"/>
      <c r="D8" s="1"/>
      <c r="E8" s="1"/>
      <c r="F8" s="1"/>
    </row>
    <row r="9" spans="1:8" ht="20" customHeight="1">
      <c r="A9" s="16" t="s">
        <v>7</v>
      </c>
      <c r="B9" s="16"/>
      <c r="C9" s="16"/>
      <c r="D9" s="16"/>
      <c r="E9" s="16"/>
      <c r="F9" s="16"/>
    </row>
    <row r="10" spans="1:8" ht="20" customHeight="1">
      <c r="A10" s="3" t="s">
        <v>8</v>
      </c>
      <c r="B10" s="3" t="str">
        <f>INDEX(A4:A7,MATCH(MAX(B4:B7),B4:B7,0))</f>
        <v>Offer 3 - Shannon Henry and Petri Santala</v>
      </c>
      <c r="C10" s="1"/>
      <c r="D10" s="5" t="s">
        <v>22</v>
      </c>
      <c r="E10" s="6" t="s">
        <v>23</v>
      </c>
      <c r="F10" s="6"/>
    </row>
    <row r="11" spans="1:8" ht="20" customHeight="1">
      <c r="A11" s="3" t="s">
        <v>10</v>
      </c>
      <c r="B11" s="3" t="str">
        <f>INDEX(A4:A7,MATCH(MAX(E4:E7),E4:E7,0))</f>
        <v>Offer 3 - Shannon Henry and Petri Santala</v>
      </c>
      <c r="C11" s="1"/>
      <c r="D11" s="5"/>
      <c r="E11" s="6"/>
      <c r="F11" s="6"/>
    </row>
    <row r="12" spans="1:8" ht="20" customHeight="1">
      <c r="A12" s="3" t="s">
        <v>13</v>
      </c>
      <c r="B12" s="3" t="str">
        <f>INDEX(A4:A7,MATCH(MIN(F4:F7),F4:F7,0))</f>
        <v>Offer 2 - Steven Mendes and Eva Mendes</v>
      </c>
      <c r="C12" s="1"/>
      <c r="D12" s="5"/>
      <c r="E12" s="6"/>
      <c r="F12" s="6"/>
    </row>
    <row r="13" spans="1:8" ht="20" customHeight="1">
      <c r="A13" s="3" t="s">
        <v>15</v>
      </c>
      <c r="B13" s="3" t="str">
        <f>INDEX(A5:A8,MATCH(MIN(F5:F8),F5:F8,0))</f>
        <v>Offer 2 - Steven Mendes and Eva Mendes</v>
      </c>
      <c r="C13" s="1"/>
      <c r="D13" s="5"/>
      <c r="E13" s="6"/>
      <c r="F13" s="6"/>
    </row>
    <row r="14" spans="1:8" ht="20" customHeight="1">
      <c r="A14" s="3" t="s">
        <v>18</v>
      </c>
      <c r="B14" s="3" t="s">
        <v>19</v>
      </c>
      <c r="C14" s="1"/>
      <c r="D14" s="5"/>
      <c r="E14" s="6"/>
      <c r="F14" s="6"/>
    </row>
    <row r="15" spans="1:8" ht="20" customHeight="1">
      <c r="A15" s="1"/>
      <c r="B15" s="1"/>
      <c r="C15" s="1"/>
      <c r="F15" s="6"/>
    </row>
  </sheetData>
  <mergeCells count="3">
    <mergeCell ref="A1:F1"/>
    <mergeCell ref="A9:F9"/>
    <mergeCell ref="G3:H3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"/>
  <sheetViews>
    <sheetView tabSelected="1" workbookViewId="0"/>
  </sheetViews>
  <sheetFormatPr baseColWidth="10" defaultColWidth="8.83203125" defaultRowHeight="14"/>
  <cols>
    <col min="1" max="1" width="6.5" bestFit="1" customWidth="1"/>
    <col min="2" max="2" width="48.1640625" bestFit="1" customWidth="1"/>
    <col min="3" max="3" width="18.33203125" bestFit="1" customWidth="1"/>
    <col min="4" max="4" width="13.5" bestFit="1" customWidth="1"/>
    <col min="5" max="5" width="18.83203125" bestFit="1" customWidth="1"/>
    <col min="6" max="6" width="17.83203125" bestFit="1" customWidth="1"/>
    <col min="7" max="7" width="21.1640625" bestFit="1" customWidth="1"/>
    <col min="8" max="8" width="67" bestFit="1" customWidth="1"/>
    <col min="9" max="9" width="46.5" bestFit="1" customWidth="1"/>
    <col min="10" max="10" width="50.1640625" bestFit="1" customWidth="1"/>
    <col min="11" max="11" width="35.1640625" bestFit="1" customWidth="1"/>
    <col min="12" max="12" width="21" bestFit="1" customWidth="1"/>
    <col min="13" max="13" width="24.1640625" bestFit="1" customWidth="1"/>
    <col min="14" max="14" width="26.83203125" bestFit="1" customWidth="1"/>
    <col min="15" max="15" width="49.1640625" bestFit="1" customWidth="1"/>
    <col min="16" max="16" width="19.33203125" bestFit="1" customWidth="1"/>
    <col min="17" max="17" width="19.5" bestFit="1" customWidth="1"/>
    <col min="18" max="18" width="44" bestFit="1" customWidth="1"/>
    <col min="19" max="19" width="20.83203125" bestFit="1" customWidth="1"/>
    <col min="20" max="20" width="21" bestFit="1" customWidth="1"/>
    <col min="21" max="21" width="14.83203125" bestFit="1" customWidth="1"/>
    <col min="22" max="22" width="34.83203125" bestFit="1" customWidth="1"/>
    <col min="23" max="23" width="23.83203125" bestFit="1" customWidth="1"/>
    <col min="24" max="24" width="53.1640625" bestFit="1" customWidth="1"/>
    <col min="25" max="25" width="107.33203125" bestFit="1" customWidth="1"/>
    <col min="26" max="26" width="19.5" bestFit="1" customWidth="1"/>
    <col min="27" max="27" width="19.1640625" bestFit="1" customWidth="1"/>
    <col min="28" max="28" width="27.33203125" bestFit="1" customWidth="1"/>
    <col min="29" max="29" width="10.5" bestFit="1" customWidth="1"/>
    <col min="30" max="30" width="119" bestFit="1" customWidth="1"/>
  </cols>
  <sheetData>
    <row r="1" spans="1:30" ht="16">
      <c r="A1" s="7" t="s">
        <v>1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  <c r="L1" s="7" t="s">
        <v>33</v>
      </c>
      <c r="M1" s="7" t="s">
        <v>34</v>
      </c>
      <c r="N1" s="7" t="s">
        <v>35</v>
      </c>
      <c r="O1" s="7" t="s">
        <v>36</v>
      </c>
      <c r="P1" s="7" t="s">
        <v>37</v>
      </c>
      <c r="Q1" s="7" t="s">
        <v>38</v>
      </c>
      <c r="R1" s="7" t="s">
        <v>39</v>
      </c>
      <c r="S1" s="7" t="s">
        <v>40</v>
      </c>
      <c r="T1" s="7" t="s">
        <v>41</v>
      </c>
      <c r="U1" s="7" t="s">
        <v>42</v>
      </c>
      <c r="V1" s="7" t="s">
        <v>43</v>
      </c>
      <c r="W1" s="7" t="s">
        <v>44</v>
      </c>
      <c r="X1" s="7" t="s">
        <v>45</v>
      </c>
      <c r="Y1" s="7" t="s">
        <v>46</v>
      </c>
      <c r="Z1" s="7" t="s">
        <v>5</v>
      </c>
      <c r="AA1" s="7" t="s">
        <v>47</v>
      </c>
      <c r="AB1" s="7" t="s">
        <v>48</v>
      </c>
      <c r="AC1" s="7" t="s">
        <v>6</v>
      </c>
      <c r="AD1" s="7" t="s">
        <v>49</v>
      </c>
    </row>
    <row r="2" spans="1:30" ht="16">
      <c r="A2" s="6" t="s">
        <v>11</v>
      </c>
      <c r="B2" s="6" t="s">
        <v>50</v>
      </c>
      <c r="C2" s="8">
        <v>640000</v>
      </c>
      <c r="D2" s="8">
        <v>660000</v>
      </c>
      <c r="E2" s="8">
        <v>2000</v>
      </c>
      <c r="F2" s="8">
        <v>660000</v>
      </c>
      <c r="G2" s="8">
        <v>12000</v>
      </c>
      <c r="H2" s="6" t="s">
        <v>51</v>
      </c>
      <c r="I2" s="6" t="s">
        <v>52</v>
      </c>
      <c r="J2" s="6" t="s">
        <v>53</v>
      </c>
      <c r="K2" s="6" t="s">
        <v>54</v>
      </c>
      <c r="L2" s="8">
        <v>0</v>
      </c>
      <c r="M2" s="8" t="str">
        <f>IF(L2&gt;0,F2-L2,"N/A")</f>
        <v>N/A</v>
      </c>
      <c r="N2" s="6" t="s">
        <v>55</v>
      </c>
      <c r="O2" s="6" t="s">
        <v>56</v>
      </c>
      <c r="P2" s="9">
        <v>2.5000000000000001E-2</v>
      </c>
      <c r="Q2" s="8">
        <f>F2*P2</f>
        <v>16500</v>
      </c>
      <c r="R2" s="6" t="s">
        <v>57</v>
      </c>
      <c r="S2" s="9">
        <v>0.01</v>
      </c>
      <c r="T2" s="8">
        <f>F2*S2</f>
        <v>6600</v>
      </c>
      <c r="U2" s="10">
        <v>46185</v>
      </c>
      <c r="V2" s="6" t="s">
        <v>58</v>
      </c>
      <c r="W2" s="6" t="s">
        <v>59</v>
      </c>
      <c r="X2" s="6" t="s">
        <v>60</v>
      </c>
      <c r="Y2" s="6" t="s">
        <v>61</v>
      </c>
      <c r="Z2" s="8">
        <f>F2-Q2-T2</f>
        <v>636900</v>
      </c>
      <c r="AA2" s="8">
        <f>F2*Assumptions!$B$2</f>
        <v>16500</v>
      </c>
      <c r="AB2" s="8">
        <f>Z2-AA2</f>
        <v>620400</v>
      </c>
      <c r="AC2" s="6">
        <v>3</v>
      </c>
      <c r="AD2" s="6" t="s">
        <v>62</v>
      </c>
    </row>
    <row r="3" spans="1:30" ht="16">
      <c r="A3" s="6" t="s">
        <v>14</v>
      </c>
      <c r="B3" s="6" t="s">
        <v>63</v>
      </c>
      <c r="C3" s="8">
        <v>640000</v>
      </c>
      <c r="D3" s="8">
        <v>650000</v>
      </c>
      <c r="E3" s="8">
        <v>1200</v>
      </c>
      <c r="F3" s="8">
        <v>650000</v>
      </c>
      <c r="G3" s="8">
        <v>10000</v>
      </c>
      <c r="H3" s="6" t="s">
        <v>64</v>
      </c>
      <c r="I3" s="6" t="s">
        <v>65</v>
      </c>
      <c r="J3" s="6" t="s">
        <v>66</v>
      </c>
      <c r="K3" s="6" t="s">
        <v>54</v>
      </c>
      <c r="L3" s="8">
        <v>0</v>
      </c>
      <c r="M3" s="8" t="str">
        <f>IF(L3&gt;0,F3-L3,"N/A")</f>
        <v>N/A</v>
      </c>
      <c r="N3" s="6" t="s">
        <v>55</v>
      </c>
      <c r="O3" s="6" t="s">
        <v>67</v>
      </c>
      <c r="P3" s="9">
        <v>0</v>
      </c>
      <c r="Q3" s="8">
        <f>F3*P3</f>
        <v>0</v>
      </c>
      <c r="R3" s="6" t="s">
        <v>68</v>
      </c>
      <c r="S3" s="9">
        <v>0</v>
      </c>
      <c r="T3" s="8">
        <f>F3*S3</f>
        <v>0</v>
      </c>
      <c r="U3" s="10">
        <v>46183</v>
      </c>
      <c r="V3" s="6" t="s">
        <v>58</v>
      </c>
      <c r="W3" s="6" t="s">
        <v>59</v>
      </c>
      <c r="X3" s="6" t="s">
        <v>69</v>
      </c>
      <c r="Y3" s="6" t="s">
        <v>70</v>
      </c>
      <c r="Z3" s="8">
        <f>F3-Q3-T3</f>
        <v>650000</v>
      </c>
      <c r="AA3" s="8">
        <f>F3*Assumptions!$B$2</f>
        <v>16250</v>
      </c>
      <c r="AB3" s="8">
        <f>Z3-AA3</f>
        <v>633750</v>
      </c>
      <c r="AC3" s="6">
        <v>1</v>
      </c>
      <c r="AD3" s="6" t="s">
        <v>112</v>
      </c>
    </row>
    <row r="4" spans="1:30" ht="16">
      <c r="A4" s="6" t="s">
        <v>16</v>
      </c>
      <c r="B4" s="6" t="s">
        <v>71</v>
      </c>
      <c r="C4" s="8">
        <v>656000</v>
      </c>
      <c r="D4" s="8">
        <v>686000</v>
      </c>
      <c r="E4" s="8"/>
      <c r="F4" s="8">
        <v>686000</v>
      </c>
      <c r="G4" s="8">
        <v>20000</v>
      </c>
      <c r="H4" s="6" t="s">
        <v>72</v>
      </c>
      <c r="I4" s="6" t="s">
        <v>73</v>
      </c>
      <c r="J4" s="6" t="s">
        <v>74</v>
      </c>
      <c r="K4" s="6" t="s">
        <v>75</v>
      </c>
      <c r="L4" s="8">
        <v>11000</v>
      </c>
      <c r="M4" s="8">
        <f>IF(L4&gt;0,F4-L4,"N/A")</f>
        <v>675000</v>
      </c>
      <c r="N4" s="6" t="s">
        <v>55</v>
      </c>
      <c r="O4" s="6" t="s">
        <v>56</v>
      </c>
      <c r="P4" s="9">
        <v>2.5000000000000001E-2</v>
      </c>
      <c r="Q4" s="8">
        <f>F4*P4</f>
        <v>17150</v>
      </c>
      <c r="R4" s="6" t="s">
        <v>57</v>
      </c>
      <c r="S4" s="9">
        <v>0.01</v>
      </c>
      <c r="T4" s="8">
        <f>F4*S4</f>
        <v>6860</v>
      </c>
      <c r="U4" s="10">
        <v>46203</v>
      </c>
      <c r="V4" s="6" t="s">
        <v>76</v>
      </c>
      <c r="W4" s="6" t="s">
        <v>59</v>
      </c>
      <c r="X4" s="6" t="s">
        <v>77</v>
      </c>
      <c r="Y4" s="6" t="s">
        <v>78</v>
      </c>
      <c r="Z4" s="8">
        <f>F4-Q4-T4</f>
        <v>661990</v>
      </c>
      <c r="AA4" s="8">
        <f>F4*Assumptions!$B$2</f>
        <v>17150</v>
      </c>
      <c r="AB4" s="8">
        <f>Z4-AA4</f>
        <v>644840</v>
      </c>
      <c r="AC4" s="6">
        <v>4</v>
      </c>
      <c r="AD4" s="6" t="s">
        <v>79</v>
      </c>
    </row>
    <row r="5" spans="1:30" ht="16">
      <c r="A5" s="6" t="s">
        <v>20</v>
      </c>
      <c r="B5" s="6" t="s">
        <v>80</v>
      </c>
      <c r="C5" s="8">
        <v>651600</v>
      </c>
      <c r="D5" s="8">
        <v>665700</v>
      </c>
      <c r="E5" s="8">
        <v>5251</v>
      </c>
      <c r="F5" s="8">
        <v>665700</v>
      </c>
      <c r="G5" s="8">
        <v>15000</v>
      </c>
      <c r="H5" s="6" t="s">
        <v>81</v>
      </c>
      <c r="I5" s="6" t="s">
        <v>65</v>
      </c>
      <c r="J5" s="6" t="s">
        <v>66</v>
      </c>
      <c r="K5" s="6" t="s">
        <v>54</v>
      </c>
      <c r="L5" s="8">
        <v>0</v>
      </c>
      <c r="M5" s="8" t="str">
        <f>IF(L5&gt;0,F5-L5,"N/A")</f>
        <v>N/A</v>
      </c>
      <c r="N5" s="6" t="s">
        <v>55</v>
      </c>
      <c r="O5" s="6" t="s">
        <v>56</v>
      </c>
      <c r="P5" s="9">
        <v>2.5000000000000001E-2</v>
      </c>
      <c r="Q5" s="8">
        <f>F5*P5</f>
        <v>16642.5</v>
      </c>
      <c r="R5" s="6" t="s">
        <v>57</v>
      </c>
      <c r="S5" s="9">
        <v>0.01</v>
      </c>
      <c r="T5" s="8">
        <f>F5*S5</f>
        <v>6657</v>
      </c>
      <c r="U5" s="10">
        <v>46175</v>
      </c>
      <c r="V5" s="6" t="s">
        <v>82</v>
      </c>
      <c r="W5" s="6" t="s">
        <v>59</v>
      </c>
      <c r="X5" s="6" t="s">
        <v>83</v>
      </c>
      <c r="Y5" s="6" t="s">
        <v>84</v>
      </c>
      <c r="Z5" s="8">
        <f>F5-Q5-T5</f>
        <v>642400.5</v>
      </c>
      <c r="AA5" s="8">
        <f>F5*Assumptions!$B$2</f>
        <v>16642.5</v>
      </c>
      <c r="AB5" s="8">
        <f>Z5-AA5</f>
        <v>625758</v>
      </c>
      <c r="AC5" s="6">
        <v>2</v>
      </c>
      <c r="AD5" s="6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4"/>
  <cols>
    <col min="1" max="1" width="38" customWidth="1"/>
    <col min="2" max="2" width="63.33203125" customWidth="1"/>
  </cols>
  <sheetData>
    <row r="1" spans="1:2" ht="20" customHeight="1">
      <c r="A1" s="11" t="s">
        <v>86</v>
      </c>
      <c r="B1" s="11" t="s">
        <v>87</v>
      </c>
    </row>
    <row r="2" spans="1:2" ht="20" customHeight="1">
      <c r="A2" s="12" t="s">
        <v>88</v>
      </c>
      <c r="B2" s="13">
        <v>2.5000000000000001E-2</v>
      </c>
    </row>
    <row r="3" spans="1:2" ht="20" customHeight="1">
      <c r="A3" s="12" t="s">
        <v>89</v>
      </c>
      <c r="B3" s="13">
        <v>0.01</v>
      </c>
    </row>
    <row r="4" spans="1:2" ht="20" customHeight="1">
      <c r="A4" s="12" t="s">
        <v>90</v>
      </c>
      <c r="B4" s="14">
        <v>686000</v>
      </c>
    </row>
    <row r="5" spans="1:2" ht="20" customHeight="1">
      <c r="A5" s="12" t="s">
        <v>91</v>
      </c>
      <c r="B5" s="14">
        <v>11000</v>
      </c>
    </row>
    <row r="6" spans="1:2" ht="20" customHeight="1">
      <c r="A6" s="12" t="s">
        <v>92</v>
      </c>
      <c r="B6" s="12" t="s">
        <v>93</v>
      </c>
    </row>
    <row r="7" spans="1:2" ht="20" customHeight="1">
      <c r="A7" s="12" t="s">
        <v>94</v>
      </c>
      <c r="B7" s="1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sqref="A1:XFD1048576"/>
    </sheetView>
  </sheetViews>
  <sheetFormatPr baseColWidth="10" defaultColWidth="8.83203125" defaultRowHeight="14"/>
  <cols>
    <col min="1" max="1" width="6.5" bestFit="1" customWidth="1"/>
    <col min="2" max="2" width="153.1640625" bestFit="1" customWidth="1"/>
    <col min="3" max="3" width="221.83203125" bestFit="1" customWidth="1"/>
    <col min="4" max="4" width="120.33203125" bestFit="1" customWidth="1"/>
  </cols>
  <sheetData>
    <row r="1" spans="1:4" ht="16">
      <c r="A1" s="7" t="s">
        <v>1</v>
      </c>
      <c r="B1" s="7" t="s">
        <v>96</v>
      </c>
      <c r="C1" s="7" t="s">
        <v>97</v>
      </c>
      <c r="D1" s="7" t="s">
        <v>98</v>
      </c>
    </row>
    <row r="2" spans="1:4" ht="16">
      <c r="A2" s="6" t="s">
        <v>11</v>
      </c>
      <c r="B2" s="6" t="s">
        <v>99</v>
      </c>
      <c r="C2" s="6" t="s">
        <v>100</v>
      </c>
      <c r="D2" s="6" t="s">
        <v>101</v>
      </c>
    </row>
    <row r="3" spans="1:4" ht="16">
      <c r="A3" s="6" t="s">
        <v>14</v>
      </c>
      <c r="B3" s="6" t="s">
        <v>102</v>
      </c>
      <c r="C3" s="6" t="s">
        <v>103</v>
      </c>
      <c r="D3" s="6" t="s">
        <v>104</v>
      </c>
    </row>
    <row r="4" spans="1:4" ht="16">
      <c r="A4" s="6" t="s">
        <v>16</v>
      </c>
      <c r="B4" s="6" t="s">
        <v>105</v>
      </c>
      <c r="C4" s="6" t="s">
        <v>106</v>
      </c>
      <c r="D4" s="6" t="s">
        <v>107</v>
      </c>
    </row>
    <row r="5" spans="1:4" ht="16">
      <c r="A5" s="6" t="s">
        <v>20</v>
      </c>
      <c r="B5" s="6" t="s">
        <v>108</v>
      </c>
      <c r="C5" s="6" t="s">
        <v>109</v>
      </c>
      <c r="D5" s="6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Offer Matrix</vt:lpstr>
      <vt:lpstr>Assumptions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McKeown</cp:lastModifiedBy>
  <dcterms:modified xsi:type="dcterms:W3CDTF">2026-04-28T18:36:40Z</dcterms:modified>
</cp:coreProperties>
</file>